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2022_q4" sheetId="2" state="visible" r:id="rId2"/>
    <sheet name="2023_q1" sheetId="3" state="visible" r:id="rId3"/>
    <sheet name="2023_q2" sheetId="4" state="visible" r:id="rId4"/>
    <sheet name="2023_q3" sheetId="5" state="visible" r:id="rId5"/>
    <sheet name="2023_q4" sheetId="6" state="visible" r:id="rId6"/>
    <sheet name="2024_q1" sheetId="7" state="visible" r:id="rId7"/>
    <sheet name="2024_q2" sheetId="8" state="visible" r:id="rId8"/>
    <sheet name="2024_q3" sheetId="9" state="visible" r:id="rId9"/>
    <sheet name="2024_q4" sheetId="10" state="visible" r:id="rId10"/>
    <sheet name="2025_q1" sheetId="11" state="visible" r:id="rId11"/>
    <sheet name="2025_q2" sheetId="12" state="visible" r:id="rId12"/>
    <sheet name="2025_q3" sheetId="13" state="visible" r:id="rId13"/>
    <sheet name="2025_q4" sheetId="14" state="visible" r:id="rId14"/>
    <sheet name="2026_q1" sheetId="15" state="visible" r:id="rId15"/>
    <sheet name="2026_q2" sheetId="16" state="visible" r:id="rId16"/>
    <sheet name="vtb_2026_q1" sheetId="17" state="visible" r:id="rId17"/>
    <sheet name="tbank_2024_q4" sheetId="18" state="visible" r:id="rId18"/>
    <sheet name="tbank_2026_q1" sheetId="19" state="visible" r:id="rId19"/>
    <sheet name="tbank_2026_q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&quot;−&quot;0;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1F5FAD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bottom style="thin">
        <color rgb="00C8CDD3"/>
      </bottom>
    </border>
    <border>
      <top style="thin">
        <color rgb="00C8CDD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4" fillId="0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DE8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7" customWidth="1" min="4" max="4"/>
    <col width="11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70" customWidth="1" min="11" max="11"/>
    <col width="12" customWidth="1" min="12" max="12"/>
  </cols>
  <sheetData>
    <row r="1">
      <c r="A1" s="1" t="inlineStr">
        <is>
          <t>Замеры устойчивости: 15 пресс-релизов Сбера, по 5 прогонов</t>
        </is>
      </c>
    </row>
    <row r="2">
      <c r="A2" s="2" t="inlineStr">
        <is>
          <t>Модель Qwen 3.8 27B (4 бита, локально), спецификация v7, температура 0; в каждом прогоне свой порядок показателей в запросе. Оценки прогонов — на листах отчётов (ссылка в колонке A); все числа этого листа, кроме колонок K и L, — формулы по этим листам.</t>
        </is>
      </c>
    </row>
    <row r="3">
      <c r="A3" s="2" t="inlineStr">
        <is>
          <t>Колонка K перечисляет показатели, оценки которых разошлись; L — контрольный прогон того же метода при температуре 0,7 (данные, не формула).</t>
        </is>
      </c>
    </row>
    <row r="5">
      <c r="A5" s="3" t="inlineStr">
        <is>
          <t>Сбер</t>
        </is>
      </c>
    </row>
    <row r="6">
      <c r="A6" s="4" t="inlineStr">
        <is>
          <t>Отчёт</t>
        </is>
      </c>
      <c r="B6" s="4" t="inlineStr">
        <is>
          <t>Период</t>
        </is>
      </c>
      <c r="C6" s="4" t="inlineStr">
        <is>
          <t>Совпали во всех 5 (из 24)</t>
        </is>
      </c>
      <c r="D6" s="4" t="inlineStr">
        <is>
          <t>Доля</t>
        </is>
      </c>
      <c r="E6" s="4" t="inlineStr">
        <is>
          <t>Вывод одинаков во всех 5</t>
        </is>
      </c>
      <c r="F6" s="4" t="inlineStr">
        <is>
          <t>Итоговая сумма</t>
        </is>
      </c>
      <c r="G6" s="4" t="inlineStr">
        <is>
          <t>Вывод</t>
        </is>
      </c>
      <c r="H6" s="4" t="inlineStr">
        <is>
          <t>Сумма: минимум</t>
        </is>
      </c>
      <c r="I6" s="4" t="inlineStr">
        <is>
          <t>Сумма: максимум</t>
        </is>
      </c>
      <c r="J6" s="4" t="inlineStr">
        <is>
          <t>Разброс суммы</t>
        </is>
      </c>
      <c r="K6" s="4" t="inlineStr">
        <is>
          <t>Разошлись: показатель (5 прогонов)</t>
        </is>
      </c>
      <c r="L6" s="4" t="inlineStr">
        <is>
          <t>Контроль при T=0,7: совпали (из 24)</t>
        </is>
      </c>
    </row>
    <row r="7">
      <c r="A7" s="5" t="inlineStr">
        <is>
          <t>2022_q4</t>
        </is>
      </c>
      <c r="B7" s="2" t="inlineStr">
        <is>
          <t>4 кв. и 12 мес. 2022</t>
        </is>
      </c>
      <c r="C7" s="2">
        <f>'2022_q4'!C33</f>
        <v>24</v>
      </c>
      <c r="D7" s="6">
        <f>C7/24</f>
        <v>1</v>
      </c>
      <c r="E7" s="7" t="str">
        <f>'2022_q4'!C34</f>
        <v>да</v>
      </c>
      <c r="F7" s="8">
        <f>'2022_q4'!H30</f>
        <v>-2</v>
      </c>
      <c r="G7" s="7" t="str">
        <f>'2022_q4'!H31</f>
        <v>mixed</v>
      </c>
      <c r="H7" s="8">
        <f>'2022_q4'!C35</f>
        <v>-2</v>
      </c>
      <c r="I7" s="8">
        <f>'2022_q4'!C36</f>
        <v>-2</v>
      </c>
      <c r="J7" s="2">
        <f>I7-H7</f>
        <v>0</v>
      </c>
      <c r="K7" s="9" t="inlineStr">
        <is>
          <t>—</t>
        </is>
      </c>
      <c r="L7" s="2" t="n">
        <v>22</v>
      </c>
    </row>
    <row r="8">
      <c r="A8" s="5" t="inlineStr">
        <is>
          <t>2023_q1</t>
        </is>
      </c>
      <c r="B8" s="2" t="inlineStr">
        <is>
          <t>1 кв. 2023</t>
        </is>
      </c>
      <c r="C8" s="2">
        <f>'2023_q1'!C33</f>
        <v>21</v>
      </c>
      <c r="D8" s="6">
        <f>C8/24</f>
        <v>0.875</v>
      </c>
      <c r="E8" s="7" t="str">
        <f>'2023_q1'!C34</f>
        <v>да</v>
      </c>
      <c r="F8" s="8">
        <f>'2023_q1'!H30</f>
        <v>12</v>
      </c>
      <c r="G8" s="7" t="str">
        <f>'2023_q1'!H31</f>
        <v>mixed</v>
      </c>
      <c r="H8" s="8">
        <f>'2023_q1'!C35</f>
        <v>11</v>
      </c>
      <c r="I8" s="8">
        <f>'2023_q1'!C36</f>
        <v>12</v>
      </c>
      <c r="J8" s="2">
        <f>I8-H8</f>
        <v>1</v>
      </c>
      <c r="K8" s="9" t="inlineStr">
        <is>
          <t>Чистые процентные доходы (+1 +1 +1 0 +1); Чистые комиссионные доходы (−1 −1 −1 0 −1); Чистая процентная маржа (NIM) (+1 +1 +1 0 +1)</t>
        </is>
      </c>
      <c r="L8" s="2" t="n">
        <v>22</v>
      </c>
    </row>
    <row r="9">
      <c r="A9" s="5" t="inlineStr">
        <is>
          <t>2023_q2</t>
        </is>
      </c>
      <c r="B9" s="2" t="inlineStr">
        <is>
          <t>2 кв. 2023 (6 мес.)</t>
        </is>
      </c>
      <c r="C9" s="2">
        <f>'2023_q2'!C33</f>
        <v>17</v>
      </c>
      <c r="D9" s="6">
        <f>C9/24</f>
        <v>0.708333333333333</v>
      </c>
      <c r="E9" s="7" t="str">
        <f>'2023_q2'!C34</f>
        <v>нет</v>
      </c>
      <c r="F9" s="8">
        <f>'2023_q2'!H30</f>
        <v>12</v>
      </c>
      <c r="G9" s="7" t="str">
        <f>'2023_q2'!H31</f>
        <v>mixed</v>
      </c>
      <c r="H9" s="8">
        <f>'2023_q2'!C35</f>
        <v>9</v>
      </c>
      <c r="I9" s="8">
        <f>'2023_q2'!C36</f>
        <v>16</v>
      </c>
      <c r="J9" s="2">
        <f>I9-H9</f>
        <v>7</v>
      </c>
      <c r="K9" s="9" t="inlineStr">
        <is>
          <t>Чистая прибыль (+1 0 +1 +1 0); Рентабельность капитала (ROE) (+1 0 0 +1 0); Чистые процентные доходы (+1 0 +1 +1 0); Чистые комиссионные доходы (+1 0 0 0 0); Чистая процентная маржа (NIM) (+1 0 0 0 0); Отношение расходов к доходам (CIR) (+1 0 +1 +1 −1); Тональность руководителя (+2 +1 +1 +1 +2)</t>
        </is>
      </c>
      <c r="L9" s="2" t="n">
        <v>18</v>
      </c>
    </row>
    <row r="10">
      <c r="A10" s="5" t="inlineStr">
        <is>
          <t>2023_q3</t>
        </is>
      </c>
      <c r="B10" s="2" t="inlineStr">
        <is>
          <t>3 кв. 2023 (9 мес.)</t>
        </is>
      </c>
      <c r="C10" s="2">
        <f>'2023_q3'!C33</f>
        <v>23</v>
      </c>
      <c r="D10" s="6">
        <f>C10/24</f>
        <v>0.958333333333333</v>
      </c>
      <c r="E10" s="7" t="str">
        <f>'2023_q3'!C34</f>
        <v>да</v>
      </c>
      <c r="F10" s="8">
        <f>'2023_q3'!H30</f>
        <v>12</v>
      </c>
      <c r="G10" s="7" t="str">
        <f>'2023_q3'!H31</f>
        <v>mixed</v>
      </c>
      <c r="H10" s="8">
        <f>'2023_q3'!C35</f>
        <v>11</v>
      </c>
      <c r="I10" s="8">
        <f>'2023_q3'!C36</f>
        <v>12</v>
      </c>
      <c r="J10" s="2">
        <f>I10-H10</f>
        <v>1</v>
      </c>
      <c r="K10" s="9" t="inlineStr">
        <is>
          <t>Отношение расходов к доходам (CIR) (+1 0 +1 +1 +1)</t>
        </is>
      </c>
      <c r="L10" s="2" t="n">
        <v>16</v>
      </c>
    </row>
    <row r="11">
      <c r="A11" s="5" t="inlineStr">
        <is>
          <t>2023_q4</t>
        </is>
      </c>
      <c r="B11" s="2" t="inlineStr">
        <is>
          <t>4 кв. и 12 мес. 2023</t>
        </is>
      </c>
      <c r="C11" s="2">
        <f>'2023_q4'!C33</f>
        <v>22</v>
      </c>
      <c r="D11" s="6">
        <f>C11/24</f>
        <v>0.916666666666667</v>
      </c>
      <c r="E11" s="7" t="str">
        <f>'2023_q4'!C34</f>
        <v>да</v>
      </c>
      <c r="F11" s="8">
        <f>'2023_q4'!H30</f>
        <v>29</v>
      </c>
      <c r="G11" s="7" t="str">
        <f>'2023_q4'!H31</f>
        <v>strong</v>
      </c>
      <c r="H11" s="8">
        <f>'2023_q4'!C35</f>
        <v>29</v>
      </c>
      <c r="I11" s="8">
        <f>'2023_q4'!C36</f>
        <v>31</v>
      </c>
      <c r="J11" s="2">
        <f>I11-H11</f>
        <v>2</v>
      </c>
      <c r="K11" s="9" t="inlineStr">
        <is>
          <t>Достаточность капитала (Н20.0) (−1 0 −1 −1 −1); Внешние условия (0 0 −1 −1 −1)</t>
        </is>
      </c>
      <c r="L11" s="2" t="n">
        <v>23</v>
      </c>
    </row>
    <row r="12">
      <c r="A12" s="5" t="inlineStr">
        <is>
          <t>2024_q1</t>
        </is>
      </c>
      <c r="B12" s="2" t="inlineStr">
        <is>
          <t>1 кв. 2024</t>
        </is>
      </c>
      <c r="C12" s="2">
        <f>'2024_q1'!C33</f>
        <v>23</v>
      </c>
      <c r="D12" s="6">
        <f>C12/24</f>
        <v>0.958333333333333</v>
      </c>
      <c r="E12" s="7" t="str">
        <f>'2024_q1'!C34</f>
        <v>да</v>
      </c>
      <c r="F12" s="8">
        <f>'2024_q1'!H30</f>
        <v>9</v>
      </c>
      <c r="G12" s="7" t="str">
        <f>'2024_q1'!H31</f>
        <v>mixed</v>
      </c>
      <c r="H12" s="8">
        <f>'2024_q1'!C35</f>
        <v>8</v>
      </c>
      <c r="I12" s="8">
        <f>'2024_q1'!C36</f>
        <v>9</v>
      </c>
      <c r="J12" s="2">
        <f>I12-H12</f>
        <v>1</v>
      </c>
      <c r="K12" s="9" t="inlineStr">
        <is>
          <t>Качество портфеля (0 +1 0 +1 +1)</t>
        </is>
      </c>
      <c r="L12" s="2" t="n">
        <v>22</v>
      </c>
    </row>
    <row r="13">
      <c r="A13" s="5" t="inlineStr">
        <is>
          <t>2024_q2</t>
        </is>
      </c>
      <c r="B13" s="2" t="inlineStr">
        <is>
          <t>2 кв. 2024 (6 мес.)</t>
        </is>
      </c>
      <c r="C13" s="2">
        <f>'2024_q2'!C33</f>
        <v>22</v>
      </c>
      <c r="D13" s="6">
        <f>C13/24</f>
        <v>0.916666666666667</v>
      </c>
      <c r="E13" s="7" t="str">
        <f>'2024_q2'!C34</f>
        <v>да</v>
      </c>
      <c r="F13" s="8">
        <f>'2024_q2'!H30</f>
        <v>14</v>
      </c>
      <c r="G13" s="7" t="str">
        <f>'2024_q2'!H31</f>
        <v>strong</v>
      </c>
      <c r="H13" s="8">
        <f>'2024_q2'!C35</f>
        <v>13</v>
      </c>
      <c r="I13" s="8">
        <f>'2024_q2'!C36</f>
        <v>15</v>
      </c>
      <c r="J13" s="2">
        <f>I13-H13</f>
        <v>2</v>
      </c>
      <c r="K13" s="9" t="inlineStr">
        <is>
          <t>Качество портфеля (+1 +1 0 +1 +1); Внешние условия (+1 −1 0 0 0)</t>
        </is>
      </c>
      <c r="L13" s="2" t="n">
        <v>21</v>
      </c>
    </row>
    <row r="14">
      <c r="A14" s="5" t="inlineStr">
        <is>
          <t>2024_q3</t>
        </is>
      </c>
      <c r="B14" s="2" t="inlineStr">
        <is>
          <t>3 кв. 2024 (9 мес.)</t>
        </is>
      </c>
      <c r="C14" s="2">
        <f>'2024_q3'!C33</f>
        <v>21</v>
      </c>
      <c r="D14" s="6">
        <f>C14/24</f>
        <v>0.875</v>
      </c>
      <c r="E14" s="7" t="str">
        <f>'2024_q3'!C34</f>
        <v>да</v>
      </c>
      <c r="F14" s="8">
        <f>'2024_q3'!H30</f>
        <v>4</v>
      </c>
      <c r="G14" s="7" t="str">
        <f>'2024_q3'!H31</f>
        <v>mixed</v>
      </c>
      <c r="H14" s="8">
        <f>'2024_q3'!C35</f>
        <v>2</v>
      </c>
      <c r="I14" s="8">
        <f>'2024_q3'!C36</f>
        <v>5</v>
      </c>
      <c r="J14" s="2">
        <f>I14-H14</f>
        <v>3</v>
      </c>
      <c r="K14" s="9" t="inlineStr">
        <is>
          <t>Стоимость риска (CoR) (−2 −2 0 −2 −2); Дивиденды (+1 +1 +1 +1 0); Тональность руководителя (+1 −1 0 +1 +1)</t>
        </is>
      </c>
      <c r="L14" s="2" t="n">
        <v>22</v>
      </c>
    </row>
    <row r="15">
      <c r="A15" s="5" t="inlineStr">
        <is>
          <t>2024_q4</t>
        </is>
      </c>
      <c r="B15" s="2" t="inlineStr">
        <is>
          <t>4 кв. и 12 мес. 2024</t>
        </is>
      </c>
      <c r="C15" s="2">
        <f>'2024_q4'!C33</f>
        <v>21</v>
      </c>
      <c r="D15" s="6">
        <f>C15/24</f>
        <v>0.875</v>
      </c>
      <c r="E15" s="7" t="str">
        <f>'2024_q4'!C34</f>
        <v>да</v>
      </c>
      <c r="F15" s="8">
        <f>'2024_q4'!H30</f>
        <v>3</v>
      </c>
      <c r="G15" s="7" t="str">
        <f>'2024_q4'!H31</f>
        <v>mixed</v>
      </c>
      <c r="H15" s="8">
        <f>'2024_q4'!C35</f>
        <v>3</v>
      </c>
      <c r="I15" s="8">
        <f>'2024_q4'!C36</f>
        <v>4</v>
      </c>
      <c r="J15" s="2">
        <f>I15-H15</f>
        <v>1</v>
      </c>
      <c r="K15" s="9" t="inlineStr">
        <is>
          <t>Расходы на резервы (−1 −2 −2 −1 −2); Качество портфеля (−1 0 0 −1 −1); Доля рынка (+1 +1 +1 0 +1)</t>
        </is>
      </c>
      <c r="L15" s="2" t="n">
        <v>19</v>
      </c>
    </row>
    <row r="16">
      <c r="A16" s="5" t="inlineStr">
        <is>
          <t>2025_q1</t>
        </is>
      </c>
      <c r="B16" s="2" t="inlineStr">
        <is>
          <t>1 кв. 2025</t>
        </is>
      </c>
      <c r="C16" s="2">
        <f>'2025_q1'!C33</f>
        <v>24</v>
      </c>
      <c r="D16" s="6">
        <f>C16/24</f>
        <v>1</v>
      </c>
      <c r="E16" s="7" t="str">
        <f>'2025_q1'!C34</f>
        <v>да</v>
      </c>
      <c r="F16" s="8">
        <f>'2025_q1'!H30</f>
        <v>6</v>
      </c>
      <c r="G16" s="7" t="str">
        <f>'2025_q1'!H31</f>
        <v>mixed</v>
      </c>
      <c r="H16" s="8">
        <f>'2025_q1'!C35</f>
        <v>6</v>
      </c>
      <c r="I16" s="8">
        <f>'2025_q1'!C36</f>
        <v>6</v>
      </c>
      <c r="J16" s="2">
        <f>I16-H16</f>
        <v>0</v>
      </c>
      <c r="K16" s="9" t="inlineStr">
        <is>
          <t>—</t>
        </is>
      </c>
      <c r="L16" s="2" t="n">
        <v>22</v>
      </c>
    </row>
    <row r="17">
      <c r="A17" s="5" t="inlineStr">
        <is>
          <t>2025_q2</t>
        </is>
      </c>
      <c r="B17" s="2" t="inlineStr">
        <is>
          <t>2 кв. 2025 (6 мес.)</t>
        </is>
      </c>
      <c r="C17" s="2">
        <f>'2025_q2'!C33</f>
        <v>23</v>
      </c>
      <c r="D17" s="6">
        <f>C17/24</f>
        <v>0.958333333333333</v>
      </c>
      <c r="E17" s="7" t="str">
        <f>'2025_q2'!C34</f>
        <v>да</v>
      </c>
      <c r="F17" s="8">
        <f>'2025_q2'!H30</f>
        <v>5</v>
      </c>
      <c r="G17" s="7" t="str">
        <f>'2025_q2'!H31</f>
        <v>mixed</v>
      </c>
      <c r="H17" s="8">
        <f>'2025_q2'!C35</f>
        <v>4</v>
      </c>
      <c r="I17" s="8">
        <f>'2025_q2'!C36</f>
        <v>5</v>
      </c>
      <c r="J17" s="2">
        <f>I17-H17</f>
        <v>1</v>
      </c>
      <c r="K17" s="9" t="inlineStr">
        <is>
          <t>Корпоративный портфель (0 +1 +1 +1 +1)</t>
        </is>
      </c>
      <c r="L17" s="2" t="n">
        <v>21</v>
      </c>
    </row>
    <row r="18">
      <c r="A18" s="5" t="inlineStr">
        <is>
          <t>2025_q3</t>
        </is>
      </c>
      <c r="B18" s="2" t="inlineStr">
        <is>
          <t>3 кв. 2025 (9 мес.)</t>
        </is>
      </c>
      <c r="C18" s="2">
        <f>'2025_q3'!C33</f>
        <v>24</v>
      </c>
      <c r="D18" s="6">
        <f>C18/24</f>
        <v>1</v>
      </c>
      <c r="E18" s="7" t="str">
        <f>'2025_q3'!C34</f>
        <v>да</v>
      </c>
      <c r="F18" s="8">
        <f>'2025_q3'!H30</f>
        <v>4</v>
      </c>
      <c r="G18" s="7" t="str">
        <f>'2025_q3'!H31</f>
        <v>mixed</v>
      </c>
      <c r="H18" s="8">
        <f>'2025_q3'!C35</f>
        <v>4</v>
      </c>
      <c r="I18" s="8">
        <f>'2025_q3'!C36</f>
        <v>4</v>
      </c>
      <c r="J18" s="2">
        <f>I18-H18</f>
        <v>0</v>
      </c>
      <c r="K18" s="9" t="inlineStr">
        <is>
          <t>—</t>
        </is>
      </c>
      <c r="L18" s="2" t="n">
        <v>23</v>
      </c>
    </row>
    <row r="19">
      <c r="A19" s="5" t="inlineStr">
        <is>
          <t>2025_q4</t>
        </is>
      </c>
      <c r="B19" s="2" t="inlineStr">
        <is>
          <t>4 кв. и 12 мес. 2025</t>
        </is>
      </c>
      <c r="C19" s="2">
        <f>'2025_q4'!C33</f>
        <v>21</v>
      </c>
      <c r="D19" s="6">
        <f>C19/24</f>
        <v>0.875</v>
      </c>
      <c r="E19" s="7" t="str">
        <f>'2025_q4'!C34</f>
        <v>нет</v>
      </c>
      <c r="F19" s="8">
        <f>'2025_q4'!H30</f>
        <v>13</v>
      </c>
      <c r="G19" s="7" t="str">
        <f>'2025_q4'!H31</f>
        <v>strong</v>
      </c>
      <c r="H19" s="8">
        <f>'2025_q4'!C35</f>
        <v>11</v>
      </c>
      <c r="I19" s="8">
        <f>'2025_q4'!C36</f>
        <v>13</v>
      </c>
      <c r="J19" s="2">
        <f>I19-H19</f>
        <v>2</v>
      </c>
      <c r="K19" s="9" t="inlineStr">
        <is>
          <t>Корпоративный портфель (+2 +1 +1 +2 +2); Средства клиентов (+1 +2 +2 +2 +2); Тональность руководителя (+2 +1 0 +1 −1)</t>
        </is>
      </c>
      <c r="L19" s="2" t="n">
        <v>19</v>
      </c>
    </row>
    <row r="20">
      <c r="A20" s="5" t="inlineStr">
        <is>
          <t>2026_q1</t>
        </is>
      </c>
      <c r="B20" s="2" t="inlineStr">
        <is>
          <t>1 кв. 2026</t>
        </is>
      </c>
      <c r="C20" s="2">
        <f>'2026_q1'!C33</f>
        <v>22</v>
      </c>
      <c r="D20" s="6">
        <f>C20/24</f>
        <v>0.916666666666667</v>
      </c>
      <c r="E20" s="7" t="str">
        <f>'2026_q1'!C34</f>
        <v>да</v>
      </c>
      <c r="F20" s="8">
        <f>'2026_q1'!H30</f>
        <v>9</v>
      </c>
      <c r="G20" s="7" t="str">
        <f>'2026_q1'!H31</f>
        <v>mixed</v>
      </c>
      <c r="H20" s="8">
        <f>'2026_q1'!C35</f>
        <v>7</v>
      </c>
      <c r="I20" s="8">
        <f>'2026_q1'!C36</f>
        <v>9</v>
      </c>
      <c r="J20" s="2">
        <f>I20-H20</f>
        <v>2</v>
      </c>
      <c r="K20" s="9" t="inlineStr">
        <is>
          <t>Качество портфеля (0 +1 +1 +1 +1); Технологическое развитие (0 +1 +1 +1 0)</t>
        </is>
      </c>
      <c r="L20" s="2" t="n">
        <v>21</v>
      </c>
    </row>
    <row r="21">
      <c r="A21" s="5" t="inlineStr">
        <is>
          <t>2026_q2</t>
        </is>
      </c>
      <c r="B21" s="2" t="inlineStr">
        <is>
          <t>2 кв. 2026 (6 мес.)</t>
        </is>
      </c>
      <c r="C21" s="2">
        <f>'2026_q2'!C33</f>
        <v>23</v>
      </c>
      <c r="D21" s="6">
        <f>C21/24</f>
        <v>0.958333333333333</v>
      </c>
      <c r="E21" s="7" t="str">
        <f>'2026_q2'!C34</f>
        <v>да</v>
      </c>
      <c r="F21" s="8">
        <f>'2026_q2'!H30</f>
        <v>20</v>
      </c>
      <c r="G21" s="7" t="str">
        <f>'2026_q2'!H31</f>
        <v>strong</v>
      </c>
      <c r="H21" s="8">
        <f>'2026_q2'!C35</f>
        <v>20</v>
      </c>
      <c r="I21" s="8">
        <f>'2026_q2'!C36</f>
        <v>21</v>
      </c>
      <c r="J21" s="2">
        <f>I21-H21</f>
        <v>1</v>
      </c>
      <c r="K21" s="9" t="inlineStr">
        <is>
          <t>Цифровые метрики (+1 0 0 +1 0)</t>
        </is>
      </c>
      <c r="L21" s="2" t="n">
        <v>18</v>
      </c>
    </row>
    <row r="22">
      <c r="B22" s="10" t="inlineStr">
        <is>
          <t>Итого по 15 отчётам</t>
        </is>
      </c>
      <c r="C22" s="11">
        <f>SUM(C7:C21)</f>
        <v>331</v>
      </c>
      <c r="D22" s="12">
        <f>C22/(15*24)</f>
        <v>0.919444444444444</v>
      </c>
      <c r="E22" s="13">
        <f>COUNTIF(E7:E21,"да")</f>
        <v>13</v>
      </c>
      <c r="F22" s="2" t="inlineStr">
        <is>
          <t>из 15 отчётов — вывод одинаков</t>
        </is>
      </c>
      <c r="L22" s="10">
        <f>SUM(L7:L21)</f>
        <v>309</v>
      </c>
    </row>
    <row r="24">
      <c r="A24" s="3" t="inlineStr">
        <is>
          <t>Другие банки: проверка переноса, в основную сдачу не входят</t>
        </is>
      </c>
    </row>
    <row r="25">
      <c r="A25" s="4" t="inlineStr">
        <is>
          <t>Отчёт</t>
        </is>
      </c>
      <c r="B25" s="4" t="inlineStr">
        <is>
          <t>Период</t>
        </is>
      </c>
      <c r="C25" s="4" t="inlineStr">
        <is>
          <t>Совпали во всех 5 (из 24)</t>
        </is>
      </c>
      <c r="D25" s="4" t="inlineStr">
        <is>
          <t>Доля</t>
        </is>
      </c>
      <c r="E25" s="4" t="inlineStr">
        <is>
          <t>Вывод одинаков во всех 5</t>
        </is>
      </c>
      <c r="F25" s="4" t="inlineStr">
        <is>
          <t>Итоговая сумма</t>
        </is>
      </c>
      <c r="G25" s="4" t="inlineStr">
        <is>
          <t>Вывод</t>
        </is>
      </c>
      <c r="H25" s="4" t="inlineStr">
        <is>
          <t>Сумма: минимум</t>
        </is>
      </c>
      <c r="I25" s="4" t="inlineStr">
        <is>
          <t>Сумма: максимум</t>
        </is>
      </c>
      <c r="J25" s="4" t="inlineStr">
        <is>
          <t>Разброс суммы</t>
        </is>
      </c>
      <c r="K25" s="4" t="inlineStr">
        <is>
          <t>Разошлись: показатель (5 прогонов)</t>
        </is>
      </c>
      <c r="L25" s="4" t="inlineStr">
        <is>
          <t>Контроль при T=0,7: совпали (из 24)</t>
        </is>
      </c>
    </row>
    <row r="26">
      <c r="A26" s="5" t="inlineStr">
        <is>
          <t>vtb_2026_q1</t>
        </is>
      </c>
      <c r="B26" s="2" t="inlineStr">
        <is>
          <t>ВТБ, 1 кв. 2026</t>
        </is>
      </c>
      <c r="C26" s="2">
        <f>'vtb_2026_q1'!C33</f>
        <v>21</v>
      </c>
      <c r="D26" s="6">
        <f>C26/24</f>
        <v>0.875</v>
      </c>
      <c r="E26" s="7" t="str">
        <f>'vtb_2026_q1'!C34</f>
        <v>да</v>
      </c>
      <c r="F26" s="8">
        <f>'vtb_2026_q1'!H30</f>
        <v>2</v>
      </c>
      <c r="G26" s="7" t="str">
        <f>'vtb_2026_q1'!H31</f>
        <v>mixed</v>
      </c>
      <c r="H26" s="8">
        <f>'vtb_2026_q1'!C35</f>
        <v>0</v>
      </c>
      <c r="I26" s="8">
        <f>'vtb_2026_q1'!C36</f>
        <v>3</v>
      </c>
      <c r="J26" s="2">
        <f>I26-H26</f>
        <v>3</v>
      </c>
      <c r="K26" s="9" t="inlineStr">
        <is>
          <t>Качество портфеля (+1 +1 +1 −1 0); Внешние условия (0 −1 −1 −1 −1); Тональность руководителя (+1 +1 +2 +1 +1)</t>
        </is>
      </c>
      <c r="L26" s="2" t="n">
        <v>21</v>
      </c>
    </row>
    <row r="27">
      <c r="A27" s="5" t="inlineStr">
        <is>
          <t>tbank_2024_q4</t>
        </is>
      </c>
      <c r="B27" s="2" t="inlineStr">
        <is>
          <t>Т-Технологии, 4 кв. 2024</t>
        </is>
      </c>
      <c r="C27" s="2">
        <f>'tbank_2024_q4'!C33</f>
        <v>22</v>
      </c>
      <c r="D27" s="6">
        <f>C27/24</f>
        <v>0.916666666666667</v>
      </c>
      <c r="E27" s="7" t="str">
        <f>'tbank_2024_q4'!C34</f>
        <v>нет</v>
      </c>
      <c r="F27" s="8">
        <f>'tbank_2024_q4'!H30</f>
        <v>12</v>
      </c>
      <c r="G27" s="7" t="str">
        <f>'tbank_2024_q4'!H31</f>
        <v>mixed</v>
      </c>
      <c r="H27" s="8">
        <f>'tbank_2024_q4'!C35</f>
        <v>11</v>
      </c>
      <c r="I27" s="8">
        <f>'tbank_2024_q4'!C36</f>
        <v>14</v>
      </c>
      <c r="J27" s="2">
        <f>I27-H27</f>
        <v>3</v>
      </c>
      <c r="K27" s="9" t="inlineStr">
        <is>
          <t>Операционные расходы (0 +2 0 +2 0); Внешние условия (0 −1 −1 0 0)</t>
        </is>
      </c>
      <c r="L27" s="2" t="n">
        <v>19</v>
      </c>
    </row>
    <row r="28">
      <c r="A28" s="5" t="inlineStr">
        <is>
          <t>tbank_2026_q1</t>
        </is>
      </c>
      <c r="B28" s="2" t="inlineStr">
        <is>
          <t>Т-Технологии, 1 кв. 2026</t>
        </is>
      </c>
      <c r="C28" s="2">
        <f>'tbank_2026_q1'!C33</f>
        <v>20</v>
      </c>
      <c r="D28" s="6">
        <f>C28/24</f>
        <v>0.833333333333333</v>
      </c>
      <c r="E28" s="7" t="str">
        <f>'tbank_2026_q1'!C34</f>
        <v>да</v>
      </c>
      <c r="F28" s="8">
        <f>'tbank_2026_q1'!H30</f>
        <v>15</v>
      </c>
      <c r="G28" s="7" t="str">
        <f>'tbank_2026_q1'!H31</f>
        <v>strong</v>
      </c>
      <c r="H28" s="8">
        <f>'tbank_2026_q1'!C35</f>
        <v>15</v>
      </c>
      <c r="I28" s="8">
        <f>'tbank_2026_q1'!C36</f>
        <v>19</v>
      </c>
      <c r="J28" s="2">
        <f>I28-H28</f>
        <v>4</v>
      </c>
      <c r="K28" s="9" t="inlineStr">
        <is>
          <t>Прибыль на акцию (EPS) (+2 0 0 +2 0); Операционные расходы (+1 0 0 0 0); Стоимость риска (CoR) (0 −1 −1 −1 0); Дивиденды (+1 +1 +1 +1 +2)</t>
        </is>
      </c>
      <c r="L28" s="2" t="n">
        <v>18</v>
      </c>
    </row>
    <row r="29">
      <c r="A29" s="5" t="inlineStr">
        <is>
          <t>tbank_2026_q2</t>
        </is>
      </c>
      <c r="B29" s="2" t="inlineStr">
        <is>
          <t>Т-Технологии, 2 кв. 2026</t>
        </is>
      </c>
      <c r="C29" s="2">
        <f>'tbank_2026_q2'!C33</f>
        <v>19</v>
      </c>
      <c r="D29" s="6">
        <f>C29/24</f>
        <v>0.791666666666667</v>
      </c>
      <c r="E29" s="7" t="str">
        <f>'tbank_2026_q2'!C34</f>
        <v>да</v>
      </c>
      <c r="F29" s="8">
        <f>'tbank_2026_q2'!H30</f>
        <v>6</v>
      </c>
      <c r="G29" s="7" t="str">
        <f>'tbank_2026_q2'!H31</f>
        <v>mixed</v>
      </c>
      <c r="H29" s="8">
        <f>'tbank_2026_q2'!C35</f>
        <v>6</v>
      </c>
      <c r="I29" s="8">
        <f>'tbank_2026_q2'!C36</f>
        <v>10</v>
      </c>
      <c r="J29" s="2">
        <f>I29-H29</f>
        <v>4</v>
      </c>
      <c r="K29" s="9" t="inlineStr">
        <is>
          <t>Прибыль на акцию (EPS) (0 0 +1 +1 0); Рентабельность капитала (ROE) (−1 −1 −1 +1 −1); Операционные расходы (+1 0 +1 0 0); Отношение расходов к доходам (CIR) (−1 −1 −1 0 −1); Внешние условия (0 0 +1 0 0)</t>
        </is>
      </c>
      <c r="L29" s="2" t="n">
        <v>18</v>
      </c>
    </row>
    <row r="30">
      <c r="B30" s="10" t="inlineStr">
        <is>
          <t>Итого по 4 отчётам</t>
        </is>
      </c>
      <c r="C30" s="11">
        <f>SUM(C26:C29)</f>
        <v>82</v>
      </c>
      <c r="D30" s="12">
        <f>C30/(4*24)</f>
        <v>0.854166666666667</v>
      </c>
      <c r="E30" s="13">
        <f>COUNTIF(E26:E29,"да")</f>
        <v>3</v>
      </c>
      <c r="F30" s="2" t="inlineStr">
        <is>
          <t>из 4 отчётов — вывод одинаков</t>
        </is>
      </c>
      <c r="L30" s="10">
        <f>SUM(L26:L29)</f>
        <v>76</v>
      </c>
    </row>
  </sheetData>
  <hyperlinks>
    <hyperlink ref="A7" location="'2022_q4'!A1"/>
    <hyperlink ref="A8" location="'2023_q1'!A1"/>
    <hyperlink ref="A9" location="'2023_q2'!A1"/>
    <hyperlink ref="A10" location="'2023_q3'!A1"/>
    <hyperlink ref="A11" location="'2023_q4'!A1"/>
    <hyperlink ref="A12" location="'2024_q1'!A1"/>
    <hyperlink ref="A13" location="'2024_q2'!A1"/>
    <hyperlink ref="A14" location="'2024_q3'!A1"/>
    <hyperlink ref="A15" location="'2024_q4'!A1"/>
    <hyperlink ref="A16" location="'2025_q1'!A1"/>
    <hyperlink ref="A17" location="'2025_q2'!A1"/>
    <hyperlink ref="A18" location="'2025_q3'!A1"/>
    <hyperlink ref="A19" location="'2025_q4'!A1"/>
    <hyperlink ref="A20" location="'2026_q1'!A1"/>
    <hyperlink ref="A21" location="'2026_q2'!A1"/>
    <hyperlink ref="A26" location="'vtb_2026_q1'!A1"/>
    <hyperlink ref="A27" location="'tbank_2024_q4'!A1"/>
    <hyperlink ref="A28" location="'tbank_2026_q1'!A1"/>
    <hyperlink ref="A29" location="'tbank_2026_q2'!A1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2022: оценки пяти прогонов</t>
        </is>
      </c>
    </row>
    <row r="2">
      <c r="A2" s="2" t="inlineStr">
        <is>
          <t>Исходный файл: 2022_ifrs_.pdf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-2</v>
      </c>
      <c r="D6" s="8" t="n">
        <v>-2</v>
      </c>
      <c r="E6" s="8" t="n">
        <v>-2</v>
      </c>
      <c r="F6" s="8" t="n">
        <v>-2</v>
      </c>
      <c r="G6" s="8" t="n">
        <v>-2</v>
      </c>
      <c r="H6" s="15">
        <f>MEDIAN(C6:G6)</f>
        <v>-2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-2</v>
      </c>
      <c r="D7" s="8" t="n">
        <v>-2</v>
      </c>
      <c r="E7" s="8" t="n">
        <v>-2</v>
      </c>
      <c r="F7" s="8" t="n">
        <v>-2</v>
      </c>
      <c r="G7" s="8" t="n">
        <v>-2</v>
      </c>
      <c r="H7" s="15">
        <f>MEDIAN(C7:G7)</f>
        <v>-2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-2</v>
      </c>
      <c r="D29" s="8" t="n">
        <v>-2</v>
      </c>
      <c r="E29" s="8" t="n">
        <v>-2</v>
      </c>
      <c r="F29" s="8" t="n">
        <v>-2</v>
      </c>
      <c r="G29" s="8" t="n">
        <v>-2</v>
      </c>
      <c r="H29" s="15">
        <f>MEDIAN(C29:G29)</f>
        <v>-2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-2</v>
      </c>
      <c r="D30" s="16">
        <f>SUM(D6:D29)</f>
        <v>-2</v>
      </c>
      <c r="E30" s="16">
        <f>SUM(E6:E29)</f>
        <v>-2</v>
      </c>
      <c r="F30" s="16">
        <f>SUM(F6:F29)</f>
        <v>-2</v>
      </c>
      <c r="G30" s="16">
        <f>SUM(G6:G29)</f>
        <v>-2</v>
      </c>
      <c r="H30" s="16">
        <f>SUM(H6:H29)</f>
        <v>-2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-2</v>
      </c>
    </row>
    <row r="36">
      <c r="B36" s="10" t="inlineStr">
        <is>
          <t>Сумма по прогонам: максимум</t>
        </is>
      </c>
      <c r="C36" s="15">
        <f>MAX(C30:G30)</f>
        <v>-2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2023: оценки пяти прогонов</t>
        </is>
      </c>
    </row>
    <row r="2">
      <c r="A2" s="2" t="inlineStr">
        <is>
          <t>Исходный файл: 2023_q1_ifrs_.pdf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0</v>
      </c>
      <c r="G10" s="8" t="n">
        <v>1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0</v>
      </c>
      <c r="G11" s="8" t="n">
        <v>-1</v>
      </c>
      <c r="H11" s="15">
        <f>MEDIAN(C11:G11)</f>
        <v>-1</v>
      </c>
      <c r="I11" s="7" t="str">
        <f>IF(MAX(C11:G11)=MIN(C11:G11),"да","нет")</f>
        <v>нет</v>
      </c>
      <c r="J11" s="2" t="inlineStr">
        <is>
          <t>модель (запасной выход)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1</v>
      </c>
      <c r="H12" s="15">
        <f>MEDIAN(C12:G12)</f>
        <v>1</v>
      </c>
      <c r="I12" s="7" t="str">
        <f>IF(MAX(C12:G12)=MIN(C12:G12),"да","нет")</f>
        <v>нет</v>
      </c>
      <c r="J12" s="2" t="inlineStr">
        <is>
          <t>модель (запасной выход)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12</v>
      </c>
      <c r="E30" s="16">
        <f>SUM(E6:E29)</f>
        <v>12</v>
      </c>
      <c r="F30" s="16">
        <f>SUM(F6:F29)</f>
        <v>11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2023 (6 мес.): оценки пяти прогонов</t>
        </is>
      </c>
    </row>
    <row r="2">
      <c r="A2" s="2" t="inlineStr">
        <is>
          <t>Исходный файл: 2023_q2_ifrs__.pdf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0</v>
      </c>
      <c r="E6" s="8" t="n">
        <v>1</v>
      </c>
      <c r="F6" s="8" t="n">
        <v>1</v>
      </c>
      <c r="G6" s="8" t="n">
        <v>0</v>
      </c>
      <c r="H6" s="15">
        <f>MEDIAN(C6:G6)</f>
        <v>1</v>
      </c>
      <c r="I6" s="7" t="str">
        <f>IF(MAX(C6:G6)=MIN(C6:G6),"да","нет")</f>
        <v>нет</v>
      </c>
      <c r="J6" s="2" t="inlineStr">
        <is>
          <t>модель (запасной выход)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0</v>
      </c>
      <c r="E8" s="8" t="n">
        <v>0</v>
      </c>
      <c r="F8" s="8" t="n">
        <v>1</v>
      </c>
      <c r="G8" s="8" t="n">
        <v>0</v>
      </c>
      <c r="H8" s="15">
        <f>MEDIAN(C8:G8)</f>
        <v>0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0</v>
      </c>
      <c r="E10" s="8" t="n">
        <v>1</v>
      </c>
      <c r="F10" s="8" t="n">
        <v>1</v>
      </c>
      <c r="G10" s="8" t="n">
        <v>0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нет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нет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-1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1</v>
      </c>
      <c r="F29" s="8" t="n">
        <v>1</v>
      </c>
      <c r="G29" s="8" t="n">
        <v>2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16</v>
      </c>
      <c r="D30" s="16">
        <f>SUM(D6:D29)</f>
        <v>9</v>
      </c>
      <c r="E30" s="16">
        <f>SUM(E6:E29)</f>
        <v>12</v>
      </c>
      <c r="F30" s="16">
        <f>SUM(F6:F29)</f>
        <v>13</v>
      </c>
      <c r="G30" s="16">
        <f>SUM(G6:G29)</f>
        <v>9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17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9</v>
      </c>
    </row>
    <row r="36">
      <c r="B36" s="10" t="inlineStr">
        <is>
          <t>Сумма по прогонам: максимум</t>
        </is>
      </c>
      <c r="C36" s="15">
        <f>MAX(C30:G30)</f>
        <v>16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2023 (9 мес.): оценки пяти прогонов</t>
        </is>
      </c>
    </row>
    <row r="2">
      <c r="A2" s="2" t="inlineStr">
        <is>
          <t>Исходный файл: 2023__q3__ifrs__.pdf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5">
        <f>MEDIAN(C10:G10)</f>
        <v>0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11</v>
      </c>
      <c r="E30" s="16">
        <f>SUM(E6:E29)</f>
        <v>12</v>
      </c>
      <c r="F30" s="16">
        <f>SUM(F6:F29)</f>
        <v>12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2023: оценки пяти прогонов</t>
        </is>
      </c>
    </row>
    <row r="2">
      <c r="A2" s="2" t="inlineStr">
        <is>
          <t>Исходный файл: 2023_ifrs_.pdf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2</v>
      </c>
      <c r="D13" s="8" t="n">
        <v>2</v>
      </c>
      <c r="E13" s="8" t="n">
        <v>2</v>
      </c>
      <c r="F13" s="8" t="n">
        <v>2</v>
      </c>
      <c r="G13" s="8" t="n">
        <v>2</v>
      </c>
      <c r="H13" s="15">
        <f>MEDIAN(C13:G13)</f>
        <v>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15">
        <f>MEDIAN(C14:G14)</f>
        <v>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0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нет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30</v>
      </c>
      <c r="D30" s="16">
        <f>SUM(D6:D29)</f>
        <v>31</v>
      </c>
      <c r="E30" s="16">
        <f>SUM(E6:E29)</f>
        <v>29</v>
      </c>
      <c r="F30" s="16">
        <f>SUM(F6:F29)</f>
        <v>29</v>
      </c>
      <c r="G30" s="16">
        <f>SUM(G6:G29)</f>
        <v>29</v>
      </c>
      <c r="H30" s="16">
        <f>SUM(H6:H29)</f>
        <v>29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29</v>
      </c>
    </row>
    <row r="36">
      <c r="B36" s="10" t="inlineStr">
        <is>
          <t>Сумма по прогонам: максимум</t>
        </is>
      </c>
      <c r="C36" s="15">
        <f>MAX(C30:G30)</f>
        <v>31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2024: оценки пяти прогонов</t>
        </is>
      </c>
    </row>
    <row r="2">
      <c r="A2" s="2" t="inlineStr">
        <is>
          <t>Исходный файл: 2024_q1_xevivhwo_.pdf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8</v>
      </c>
      <c r="D30" s="16">
        <f>SUM(D6:D29)</f>
        <v>9</v>
      </c>
      <c r="E30" s="16">
        <f>SUM(E6:E29)</f>
        <v>8</v>
      </c>
      <c r="F30" s="16">
        <f>SUM(F6:F29)</f>
        <v>9</v>
      </c>
      <c r="G30" s="16">
        <f>SUM(G6:G29)</f>
        <v>9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8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2024 (6 мес.): оценки пяти прогонов</t>
        </is>
      </c>
    </row>
    <row r="2">
      <c r="A2" s="2" t="inlineStr">
        <is>
          <t>Исходный файл: 2024_q2_najzxgya.pdf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15">
        <f>MEDIAN(C16:G16)</f>
        <v>1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-1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15</v>
      </c>
      <c r="D30" s="16">
        <f>SUM(D6:D29)</f>
        <v>13</v>
      </c>
      <c r="E30" s="16">
        <f>SUM(E6:E29)</f>
        <v>13</v>
      </c>
      <c r="F30" s="16">
        <f>SUM(F6:F29)</f>
        <v>14</v>
      </c>
      <c r="G30" s="16">
        <f>SUM(G6:G29)</f>
        <v>14</v>
      </c>
      <c r="H30" s="16">
        <f>SUM(H6:H29)</f>
        <v>14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13</v>
      </c>
    </row>
    <row r="36">
      <c r="B36" s="10" t="inlineStr">
        <is>
          <t>Сумма по прогонам: максимум</t>
        </is>
      </c>
      <c r="C36" s="15">
        <f>MAX(C30:G30)</f>
        <v>15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2024 (9 мес.): оценки пяти прогонов</t>
        </is>
      </c>
    </row>
    <row r="2">
      <c r="A2" s="2" t="inlineStr">
        <is>
          <t>Исходный файл: q3_hblsyjgb_2024.pdf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0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0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-1</v>
      </c>
      <c r="E29" s="8" t="n">
        <v>0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2</v>
      </c>
      <c r="E30" s="16">
        <f>SUM(E6:E29)</f>
        <v>5</v>
      </c>
      <c r="F30" s="16">
        <f>SUM(F6:F29)</f>
        <v>4</v>
      </c>
      <c r="G30" s="16">
        <f>SUM(G6:G29)</f>
        <v>3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2024: оценки пяти прогонов</t>
        </is>
      </c>
    </row>
    <row r="2">
      <c r="A2" s="2" t="inlineStr">
        <is>
          <t>Исходный файл: results_q4_qx5ln89k_2024.pdf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-1</v>
      </c>
      <c r="D12" s="8" t="n">
        <v>-1</v>
      </c>
      <c r="E12" s="8" t="n">
        <v>-1</v>
      </c>
      <c r="F12" s="8" t="n">
        <v>-1</v>
      </c>
      <c r="G12" s="8" t="n">
        <v>-1</v>
      </c>
      <c r="H12" s="15">
        <f>MEDIAN(C12:G12)</f>
        <v>-1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-1</v>
      </c>
      <c r="D16" s="8" t="n">
        <v>-2</v>
      </c>
      <c r="E16" s="8" t="n">
        <v>-2</v>
      </c>
      <c r="F16" s="8" t="n">
        <v>-1</v>
      </c>
      <c r="G16" s="8" t="n">
        <v>-2</v>
      </c>
      <c r="H16" s="15">
        <f>MEDIAN(C16:G16)</f>
        <v>-2</v>
      </c>
      <c r="I16" s="7" t="str">
        <f>IF(MAX(C16:G16)=MIN(C16:G16),"да","нет")</f>
        <v>нет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0</v>
      </c>
      <c r="E17" s="8" t="n">
        <v>0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0</v>
      </c>
      <c r="G21" s="8" t="n">
        <v>1</v>
      </c>
      <c r="H21" s="15">
        <f>MEDIAN(C21:G21)</f>
        <v>1</v>
      </c>
      <c r="I21" s="7" t="str">
        <f>IF(MAX(C21:G21)=MIN(C21:G21),"да","нет")</f>
        <v>нет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15">
        <f>MEDIAN(C29:G29)</f>
        <v>0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3</v>
      </c>
      <c r="G30" s="16">
        <f>SUM(G6:G29)</f>
        <v>3</v>
      </c>
      <c r="H30" s="16">
        <f>SUM(H6:H29)</f>
        <v>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3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2025: оценки пяти прогонов</t>
        </is>
      </c>
    </row>
    <row r="2">
      <c r="A2" s="2" t="inlineStr">
        <is>
          <t>Исходный файл: q1_1mx9mq2c_2025year_results_ifrs.pdf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6</v>
      </c>
      <c r="D30" s="16">
        <f>SUM(D6:D29)</f>
        <v>6</v>
      </c>
      <c r="E30" s="16">
        <f>SUM(E6:E29)</f>
        <v>6</v>
      </c>
      <c r="F30" s="16">
        <f>SUM(F6:F29)</f>
        <v>6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2025 (6 мес.): оценки пяти прогонов</t>
        </is>
      </c>
    </row>
    <row r="2">
      <c r="A2" s="2" t="inlineStr">
        <is>
          <t>Исходный файл: ifrs_results_q2_ry5mjx7g_2025.pdf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5</v>
      </c>
      <c r="E30" s="16">
        <f>SUM(E6:E29)</f>
        <v>5</v>
      </c>
      <c r="F30" s="16">
        <f>SUM(F6:F29)</f>
        <v>5</v>
      </c>
      <c r="G30" s="16">
        <f>SUM(G6:G29)</f>
        <v>5</v>
      </c>
      <c r="H30" s="16">
        <f>SUM(H6:H29)</f>
        <v>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2025 (9 мес.): оценки пяти прогонов</t>
        </is>
      </c>
    </row>
    <row r="2">
      <c r="A2" s="2" t="inlineStr">
        <is>
          <t>Исходный файл: ifrs_results_q3_4gpw5f9j_2025.pdf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-1</v>
      </c>
      <c r="D15" s="8" t="n">
        <v>-1</v>
      </c>
      <c r="E15" s="8" t="n">
        <v>-1</v>
      </c>
      <c r="F15" s="8" t="n">
        <v>-1</v>
      </c>
      <c r="G15" s="8" t="n">
        <v>-1</v>
      </c>
      <c r="H15" s="15">
        <f>MEDIAN(C15:G15)</f>
        <v>-1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4</v>
      </c>
      <c r="G30" s="16">
        <f>SUM(G6:G29)</f>
        <v>4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2025: оценки пяти прогонов</t>
        </is>
      </c>
    </row>
    <row r="2">
      <c r="A2" s="2" t="inlineStr">
        <is>
          <t>Исходный файл: ifrs_results_q4_1pbxnuiy_2025.pdf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1</v>
      </c>
      <c r="E18" s="8" t="n">
        <v>1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нет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2</v>
      </c>
      <c r="D24" s="8" t="n">
        <v>2</v>
      </c>
      <c r="E24" s="8" t="n">
        <v>2</v>
      </c>
      <c r="F24" s="8" t="n">
        <v>2</v>
      </c>
      <c r="G24" s="8" t="n">
        <v>2</v>
      </c>
      <c r="H24" s="15">
        <f>MEDIAN(C24:G24)</f>
        <v>2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0</v>
      </c>
      <c r="F29" s="8" t="n">
        <v>1</v>
      </c>
      <c r="G29" s="8" t="n">
        <v>-1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13</v>
      </c>
      <c r="D30" s="16">
        <f>SUM(D6:D29)</f>
        <v>12</v>
      </c>
      <c r="E30" s="16">
        <f>SUM(E6:E29)</f>
        <v>11</v>
      </c>
      <c r="F30" s="16">
        <f>SUM(F6:F29)</f>
        <v>13</v>
      </c>
      <c r="G30" s="16">
        <f>SUM(G6:G29)</f>
        <v>11</v>
      </c>
      <c r="H30" s="16">
        <f>SUM(H6:H29)</f>
        <v>13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2026: оценки пяти прогонов</t>
        </is>
      </c>
    </row>
    <row r="2">
      <c r="A2" s="2" t="inlineStr">
        <is>
          <t>Исходный файл: results_q1_a3s5t86k_2026.pdf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1</v>
      </c>
      <c r="E27" s="8" t="n">
        <v>1</v>
      </c>
      <c r="F27" s="8" t="n">
        <v>1</v>
      </c>
      <c r="G27" s="8" t="n">
        <v>0</v>
      </c>
      <c r="H27" s="15">
        <f>MEDIAN(C27:G27)</f>
        <v>1</v>
      </c>
      <c r="I27" s="7" t="str">
        <f>IF(MAX(C27:G27)=MIN(C27:G27),"да","нет")</f>
        <v>нет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9</v>
      </c>
      <c r="E30" s="16">
        <f>SUM(E6:E29)</f>
        <v>9</v>
      </c>
      <c r="F30" s="16">
        <f>SUM(F6:F29)</f>
        <v>9</v>
      </c>
      <c r="G30" s="16">
        <f>SUM(G6:G29)</f>
        <v>8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7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2026 (6 мес.): оценки пяти прогонов</t>
        </is>
      </c>
    </row>
    <row r="2">
      <c r="A2" s="2" t="inlineStr">
        <is>
          <t>Исходный файл: results_q2_hjy9aepw_2026.pdf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15">
        <f>MEDIAN(C8:G8)</f>
        <v>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 (фраза)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0</v>
      </c>
      <c r="E26" s="8" t="n">
        <v>0</v>
      </c>
      <c r="F26" s="8" t="n">
        <v>1</v>
      </c>
      <c r="G26" s="8" t="n">
        <v>0</v>
      </c>
      <c r="H26" s="15">
        <f>MEDIAN(C26:G26)</f>
        <v>0</v>
      </c>
      <c r="I26" s="7" t="str">
        <f>IF(MAX(C26:G26)=MIN(C26:G26),"да","нет")</f>
        <v>нет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21</v>
      </c>
      <c r="D30" s="16">
        <f>SUM(D6:D29)</f>
        <v>20</v>
      </c>
      <c r="E30" s="16">
        <f>SUM(E6:E29)</f>
        <v>20</v>
      </c>
      <c r="F30" s="16">
        <f>SUM(F6:F29)</f>
        <v>21</v>
      </c>
      <c r="G30" s="16">
        <f>SUM(G6:G29)</f>
        <v>20</v>
      </c>
      <c r="H30" s="16">
        <f>SUM(H6:H29)</f>
        <v>20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20</v>
      </c>
    </row>
    <row r="36">
      <c r="B36" s="10" t="inlineStr">
        <is>
          <t>Сумма по прогонам: максимум</t>
        </is>
      </c>
      <c r="C36" s="15">
        <f>MAX(C30:G30)</f>
        <v>21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ВТБ, 1 кв. 2026: оценки пяти прогонов</t>
        </is>
      </c>
    </row>
    <row r="2">
      <c r="A2" s="2" t="inlineStr">
        <is>
          <t>Исходный файл: vtb_2026_q1.pdf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15">
        <f>MEDIAN(C12:G12)</f>
        <v>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-1</v>
      </c>
      <c r="G17" s="8" t="n">
        <v>0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2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</v>
      </c>
      <c r="D30" s="16">
        <f>SUM(D6:D29)</f>
        <v>2</v>
      </c>
      <c r="E30" s="16">
        <f>SUM(E6:E29)</f>
        <v>3</v>
      </c>
      <c r="F30" s="16">
        <f>SUM(F6:F29)</f>
        <v>0</v>
      </c>
      <c r="G30" s="16">
        <f>SUM(G6:G29)</f>
        <v>1</v>
      </c>
      <c r="H30" s="16">
        <f>SUM(H6:H29)</f>
        <v>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0</v>
      </c>
    </row>
    <row r="36">
      <c r="B36" s="10" t="inlineStr">
        <is>
          <t>Сумма по прогонам: максимум</t>
        </is>
      </c>
      <c r="C36" s="15">
        <f>MAX(C30:G30)</f>
        <v>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4 кв. 2024: оценки пяти прогонов</t>
        </is>
      </c>
    </row>
    <row r="2">
      <c r="A2" s="2" t="inlineStr">
        <is>
          <t>Исходный файл: tbank_2024_q4.pdf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-2</v>
      </c>
      <c r="D12" s="8" t="n">
        <v>-2</v>
      </c>
      <c r="E12" s="8" t="n">
        <v>-2</v>
      </c>
      <c r="F12" s="8" t="n">
        <v>-2</v>
      </c>
      <c r="G12" s="8" t="n">
        <v>-2</v>
      </c>
      <c r="H12" s="15">
        <f>MEDIAN(C12:G12)</f>
        <v>-2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2</v>
      </c>
      <c r="E13" s="8" t="n">
        <v>0</v>
      </c>
      <c r="F13" s="8" t="n">
        <v>2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2</v>
      </c>
      <c r="D17" s="8" t="n">
        <v>2</v>
      </c>
      <c r="E17" s="8" t="n">
        <v>2</v>
      </c>
      <c r="F17" s="8" t="n">
        <v>2</v>
      </c>
      <c r="G17" s="8" t="n">
        <v>2</v>
      </c>
      <c r="H17" s="15">
        <f>MEDIAN(C17:G17)</f>
        <v>2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-2</v>
      </c>
      <c r="D22" s="8" t="n">
        <v>-2</v>
      </c>
      <c r="E22" s="8" t="n">
        <v>-2</v>
      </c>
      <c r="F22" s="8" t="n">
        <v>-2</v>
      </c>
      <c r="G22" s="8" t="n">
        <v>-2</v>
      </c>
      <c r="H22" s="15">
        <f>MEDIAN(C22:G22)</f>
        <v>-2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2</v>
      </c>
      <c r="D25" s="8" t="n">
        <v>2</v>
      </c>
      <c r="E25" s="8" t="n">
        <v>2</v>
      </c>
      <c r="F25" s="8" t="n">
        <v>2</v>
      </c>
      <c r="G25" s="8" t="n">
        <v>2</v>
      </c>
      <c r="H25" s="15">
        <f>MEDIAN(C25:G25)</f>
        <v>2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13</v>
      </c>
      <c r="E30" s="16">
        <f>SUM(E6:E29)</f>
        <v>11</v>
      </c>
      <c r="F30" s="16">
        <f>SUM(F6:F29)</f>
        <v>14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strong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1 кв. 2026: оценки пяти прогонов</t>
        </is>
      </c>
    </row>
    <row r="2">
      <c r="A2" s="2" t="inlineStr">
        <is>
          <t>Исходный файл: tbank_2026_q1.pdf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0</v>
      </c>
      <c r="E7" s="8" t="n">
        <v>0</v>
      </c>
      <c r="F7" s="8" t="n">
        <v>2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-1</v>
      </c>
      <c r="E15" s="8" t="n">
        <v>-1</v>
      </c>
      <c r="F15" s="8" t="n">
        <v>-1</v>
      </c>
      <c r="G15" s="8" t="n">
        <v>0</v>
      </c>
      <c r="H15" s="15">
        <f>MEDIAN(C15:G15)</f>
        <v>-1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2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5">
        <f>MEDIAN(C25:G25)</f>
        <v>1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19</v>
      </c>
      <c r="D30" s="16">
        <f>SUM(D6:D29)</f>
        <v>15</v>
      </c>
      <c r="E30" s="16">
        <f>SUM(E6:E29)</f>
        <v>15</v>
      </c>
      <c r="F30" s="16">
        <f>SUM(F6:F29)</f>
        <v>17</v>
      </c>
      <c r="G30" s="16">
        <f>SUM(G6:G29)</f>
        <v>17</v>
      </c>
      <c r="H30" s="16">
        <f>SUM(H6:H29)</f>
        <v>15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20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15</v>
      </c>
    </row>
    <row r="36">
      <c r="B36" s="10" t="inlineStr">
        <is>
          <t>Сумма по прогонам: максимум</t>
        </is>
      </c>
      <c r="C36" s="15">
        <f>MAX(C30:G30)</f>
        <v>19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2 кв. 2026: оценки пяти прогонов</t>
        </is>
      </c>
    </row>
    <row r="2">
      <c r="A2" s="2" t="inlineStr">
        <is>
          <t>Исходный файл: tbank_2026_q2.pdf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1</v>
      </c>
      <c r="F7" s="8" t="n">
        <v>1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1</v>
      </c>
      <c r="G8" s="8" t="n">
        <v>-1</v>
      </c>
      <c r="H8" s="15">
        <f>MEDIAN(C8:G8)</f>
        <v>-1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1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-1</v>
      </c>
      <c r="D14" s="8" t="n">
        <v>-1</v>
      </c>
      <c r="E14" s="8" t="n">
        <v>-1</v>
      </c>
      <c r="F14" s="8" t="n">
        <v>0</v>
      </c>
      <c r="G14" s="8" t="n">
        <v>-1</v>
      </c>
      <c r="H14" s="15">
        <f>MEDIAN(C14:G14)</f>
        <v>-1</v>
      </c>
      <c r="I14" s="7" t="str">
        <f>IF(MAX(C14:G14)=MIN(C14:G14),"да","нет")</f>
        <v>нет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6</v>
      </c>
      <c r="E30" s="16">
        <f>SUM(E6:E29)</f>
        <v>9</v>
      </c>
      <c r="F30" s="16">
        <f>SUM(F6:F29)</f>
        <v>10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19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10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Гладышев</dc:creator>
  <dc:title>Замеры устойчивости</dc:title>
  <dcterms:created xsi:type="dcterms:W3CDTF">2026-09-29T12:00:00Z</dcterms:created>
  <dcterms:modified xsi:type="dcterms:W3CDTF">2026-09-29T12:00:00Z</dcterms:modified>
</cp:coreProperties>
</file>